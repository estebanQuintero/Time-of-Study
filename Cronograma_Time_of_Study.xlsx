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<sst xmlns="http://schemas.openxmlformats.org/spreadsheetml/2006/main" count="151" uniqueCount="127">
  <si>
    <t xml:space="preserve">Cronograma del proyecto Time of Study</t>
  </si>
  <si>
    <t xml:space="preserve">Fecha de inicio del proyecto:</t>
  </si>
  <si>
    <t xml:space="preserve">Celdas en azul = datos editables (fecha de inicio, semana de inicio y duración). Fechas y barras se recalculan solas. Semanas de lunes a viernes; no se descuentan festivos.</t>
  </si>
  <si>
    <t xml:space="preserve">Código</t>
  </si>
  <si>
    <t xml:space="preserve">Actividad</t>
  </si>
  <si>
    <t xml:space="preserve">Responsable</t>
  </si>
  <si>
    <t xml:space="preserve">Sem. inicio</t>
  </si>
  <si>
    <t xml:space="preserve">Duración (sem)</t>
  </si>
  <si>
    <t xml:space="preserve">Fecha inicio</t>
  </si>
  <si>
    <t xml:space="preserve">Fecha fin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</si>
  <si>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</si>
  <si>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</si>
  <si>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</si>
  <si>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</si>
  <si>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</si>
  <si>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</si>
  <si>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</si>
  <si>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</si>
  <si>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</si>
  <si>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</si>
  <si>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</si>
  <si>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</si>
  <si>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</si>
  <si>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</si>
  <si>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</si>
  <si>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</si>
  <si>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</si>
  <si>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</si>
  <si>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</si>
  <si>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</si>
  <si>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</si>
  <si>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</si>
  <si>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</si>
  <si>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</si>
  <si>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</si>
  <si>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</si>
  <si>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</si>
  <si>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</si>
  <si>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</si>
  <si>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</si>
  <si>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</si>
  <si>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</si>
  <si>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</si>
  <si>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</si>
  <si>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</si>
  <si>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</si>
  <si>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</si>
  <si>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</si>
  <si>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</si>
  <si>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</si>
  <si>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</si>
  <si>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</si>
  <si>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</si>
  <si>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</si>
  <si>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1.1</t>
  </si>
  <si>
    <t xml:space="preserve">Gestión del proyecto</t>
  </si>
  <si>
    <t xml:space="preserve">1.1.1–1.1.2</t>
  </si>
  <si>
    <t xml:space="preserve">Formulación y planificación</t>
  </si>
  <si>
    <t xml:space="preserve">Líder del proyecto</t>
  </si>
  <si>
    <t xml:space="preserve">1.1.3</t>
  </si>
  <si>
    <t xml:space="preserve">Seguimiento Scrum</t>
  </si>
  <si>
    <t xml:space="preserve">Scrum Master</t>
  </si>
  <si>
    <t xml:space="preserve">1.2</t>
  </si>
  <si>
    <t xml:space="preserve">Investigación</t>
  </si>
  <si>
    <t xml:space="preserve">1.2.1</t>
  </si>
  <si>
    <t xml:space="preserve">Diseño de instrumentos</t>
  </si>
  <si>
    <t xml:space="preserve">1.2.2</t>
  </si>
  <si>
    <t xml:space="preserve">Encuestas y entrevistas</t>
  </si>
  <si>
    <t xml:space="preserve">1.2.4</t>
  </si>
  <si>
    <t xml:space="preserve">Análisis de apps existentes</t>
  </si>
  <si>
    <t xml:space="preserve">Desarrollador móvil</t>
  </si>
  <si>
    <t xml:space="preserve">1.2.3</t>
  </si>
  <si>
    <t xml:space="preserve">Informe de resultados</t>
  </si>
  <si>
    <t xml:space="preserve">1.3</t>
  </si>
  <si>
    <t xml:space="preserve">Análisis</t>
  </si>
  <si>
    <t xml:space="preserve">1.3.1</t>
  </si>
  <si>
    <t xml:space="preserve">Requisitos RF y RNF</t>
  </si>
  <si>
    <t xml:space="preserve">1.3.2</t>
  </si>
  <si>
    <t xml:space="preserve">Historias de usuario y backlog</t>
  </si>
  <si>
    <t xml:space="preserve">1.3.3</t>
  </si>
  <si>
    <t xml:space="preserve">Diagrama de flujo</t>
  </si>
  <si>
    <t xml:space="preserve">1.4</t>
  </si>
  <si>
    <t xml:space="preserve">Diseño</t>
  </si>
  <si>
    <t xml:space="preserve">1.4.1</t>
  </si>
  <si>
    <t xml:space="preserve">Arquitectura</t>
  </si>
  <si>
    <t xml:space="preserve">1.4.2</t>
  </si>
  <si>
    <t xml:space="preserve">Modelo de base de datos</t>
  </si>
  <si>
    <t xml:space="preserve">1.4.3</t>
  </si>
  <si>
    <t xml:space="preserve">Prototipo en Figma</t>
  </si>
  <si>
    <t xml:space="preserve">1.4.4</t>
  </si>
  <si>
    <t xml:space="preserve">Validación del prototipo</t>
  </si>
  <si>
    <t xml:space="preserve">1.5</t>
  </si>
  <si>
    <t xml:space="preserve">Desarrollo</t>
  </si>
  <si>
    <t xml:space="preserve">1.5.1</t>
  </si>
  <si>
    <t xml:space="preserve">Backend y base de datos</t>
  </si>
  <si>
    <t xml:space="preserve">1.5.2</t>
  </si>
  <si>
    <t xml:space="preserve">Módulo de usuarios</t>
  </si>
  <si>
    <t xml:space="preserve">1.5.3</t>
  </si>
  <si>
    <t xml:space="preserve">Módulo de tareas</t>
  </si>
  <si>
    <t xml:space="preserve">1.5.4</t>
  </si>
  <si>
    <t xml:space="preserve">Módulo de calendario</t>
  </si>
  <si>
    <t xml:space="preserve">1.5.5</t>
  </si>
  <si>
    <t xml:space="preserve">Módulo de notificaciones</t>
  </si>
  <si>
    <t xml:space="preserve">1.5.6</t>
  </si>
  <si>
    <t xml:space="preserve">Integración</t>
  </si>
  <si>
    <t xml:space="preserve">1.6</t>
  </si>
  <si>
    <t xml:space="preserve">Pruebas</t>
  </si>
  <si>
    <t xml:space="preserve">1.6.1</t>
  </si>
  <si>
    <t xml:space="preserve">Pruebas unitarias</t>
  </si>
  <si>
    <t xml:space="preserve">1.6.2</t>
  </si>
  <si>
    <t xml:space="preserve">Pruebas funcionales</t>
  </si>
  <si>
    <t xml:space="preserve">1.6.3</t>
  </si>
  <si>
    <t xml:space="preserve">Pruebas de usabilidad (piloto)</t>
  </si>
  <si>
    <t xml:space="preserve">1.6.4</t>
  </si>
  <si>
    <t xml:space="preserve">Corrección de errores</t>
  </si>
  <si>
    <t xml:space="preserve">1.7</t>
  </si>
  <si>
    <t xml:space="preserve">Implementación y cierre</t>
  </si>
  <si>
    <t xml:space="preserve">1.7.1</t>
  </si>
  <si>
    <t xml:space="preserve">Publicación en Google Play</t>
  </si>
  <si>
    <t xml:space="preserve">1.7.2</t>
  </si>
  <si>
    <t xml:space="preserve">Manuales</t>
  </si>
  <si>
    <t xml:space="preserve">1.7.3</t>
  </si>
  <si>
    <t xml:space="preserve">Socialización</t>
  </si>
  <si>
    <t xml:space="preserve">1.7.4</t>
  </si>
  <si>
    <t xml:space="preserve">Informe de cierre</t>
  </si>
  <si>
    <t xml:space="preserve">Nota: proyecto individual con dedicación de 25 horas semanales; las actividades se ejecutan en secuencia. Duración total: 44 semanas (Formulación 1, Investigación 5, Análisis 4, Diseño 6, Desarrollo 19, Pruebas 6, Implementación y cierre 3).</t>
  </si>
  <si>
    <t xml:space="preserve">Revisar con el calendario de cada institución: la validación del prototipo (enero) y la prueba piloto (finales de junio) pueden coincidir con inicio de clases o vacaciones de mitad de año.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</si>
</sst>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dd/mm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1F3864"/>
        </patternFill>
      </fill>
    </dxf>
    <dxf>
      <fill>
        <patternFill>
          <bgColor rgb="FF8EA9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51" min="8" style="0" width="3.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46300</v>
      </c>
      <c r="E2" s="4" t="s">
        <v>2</v>
      </c>
    </row>
    <row r="4" customFormat="false" ht="22.3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 t="s">
        <v>30</v>
      </c>
      <c r="AC4" s="6" t="s">
        <v>31</v>
      </c>
      <c r="AD4" s="6" t="s">
        <v>32</v>
      </c>
      <c r="AE4" s="6" t="s">
        <v>33</v>
      </c>
      <c r="AF4" s="6" t="s">
        <v>34</v>
      </c>
      <c r="AG4" s="6" t="s">
        <v>35</v>
      </c>
      <c r="AH4" s="6" t="s">
        <v>36</v>
      </c>
      <c r="AI4" s="6" t="s">
        <v>37</v>
      </c>
      <c r="AJ4" s="6" t="s">
        <v>38</v>
      </c>
      <c r="AK4" s="6" t="s">
        <v>39</v>
      </c>
      <c r="AL4" s="6" t="s">
        <v>40</v>
      </c>
      <c r="AM4" s="6" t="s">
        <v>41</v>
      </c>
      <c r="AN4" s="6" t="s">
        <v>42</v>
      </c>
      <c r="AO4" s="6" t="s">
        <v>43</v>
      </c>
      <c r="AP4" s="6" t="s">
        <v>44</v>
      </c>
      <c r="AQ4" s="6" t="s">
        <v>45</v>
      </c>
      <c r="AR4" s="6" t="s">
        <v>46</v>
      </c>
      <c r="AS4" s="6" t="s">
        <v>47</v>
      </c>
      <c r="AT4" s="6" t="s">
        <v>48</v>
      </c>
      <c r="AU4" s="6" t="s">
        <v>49</v>
      </c>
      <c r="AV4" s="6" t="s">
        <v>50</v>
      </c>
      <c r="AW4" s="6" t="s">
        <v>51</v>
      </c>
      <c r="AX4" s="6" t="s">
        <v>52</v>
      </c>
      <c r="AY4" s="6" t="s">
        <v>53</v>
      </c>
    </row>
    <row r="5" customFormat="false" ht="39.75" hidden="false" customHeight="true" outlineLevel="0" collapsed="false">
      <c r="A5" s="5"/>
      <c r="B5" s="5"/>
      <c r="C5" s="5"/>
      <c r="D5" s="5"/>
      <c r="E5" s="5"/>
      <c r="F5" s="5"/>
      <c r="G5" s="5"/>
      <c r="H5" s="7" t="n">
        <f aca="false">$C$2+7*(1-1)</f>
        <v>46300</v>
      </c>
      <c r="I5" s="7" t="n">
        <f aca="false">$C$2+7*(2-1)</f>
        <v>46307</v>
      </c>
      <c r="J5" s="7" t="n">
        <f aca="false">$C$2+7*(3-1)</f>
        <v>46314</v>
      </c>
      <c r="K5" s="7" t="n">
        <f aca="false">$C$2+7*(4-1)</f>
        <v>46321</v>
      </c>
      <c r="L5" s="7" t="n">
        <f aca="false">$C$2+7*(5-1)</f>
        <v>46328</v>
      </c>
      <c r="M5" s="7" t="n">
        <f aca="false">$C$2+7*(6-1)</f>
        <v>46335</v>
      </c>
      <c r="N5" s="7" t="n">
        <f aca="false">$C$2+7*(7-1)</f>
        <v>46342</v>
      </c>
      <c r="O5" s="7" t="n">
        <f aca="false">$C$2+7*(8-1)</f>
        <v>46349</v>
      </c>
      <c r="P5" s="7" t="n">
        <f aca="false">$C$2+7*(9-1)</f>
        <v>46356</v>
      </c>
      <c r="Q5" s="7" t="n">
        <f aca="false">$C$2+7*(10-1)</f>
        <v>46363</v>
      </c>
      <c r="R5" s="7" t="n">
        <f aca="false">$C$2+7*(11-1)</f>
        <v>46370</v>
      </c>
      <c r="S5" s="7" t="n">
        <f aca="false">$C$2+7*(12-1)</f>
        <v>46377</v>
      </c>
      <c r="T5" s="7" t="n">
        <f aca="false">$C$2+7*(13-1)</f>
        <v>46384</v>
      </c>
      <c r="U5" s="7" t="n">
        <f aca="false">$C$2+7*(14-1)</f>
        <v>46391</v>
      </c>
      <c r="V5" s="7" t="n">
        <f aca="false">$C$2+7*(15-1)</f>
        <v>46398</v>
      </c>
      <c r="W5" s="7" t="n">
        <f aca="false">$C$2+7*(16-1)</f>
        <v>46405</v>
      </c>
      <c r="X5" s="7" t="n">
        <f aca="false">$C$2+7*(17-1)</f>
        <v>46412</v>
      </c>
      <c r="Y5" s="7" t="n">
        <f aca="false">$C$2+7*(18-1)</f>
        <v>46419</v>
      </c>
      <c r="Z5" s="7" t="n">
        <f aca="false">$C$2+7*(19-1)</f>
        <v>46426</v>
      </c>
      <c r="AA5" s="7" t="n">
        <f aca="false">$C$2+7*(20-1)</f>
        <v>46433</v>
      </c>
      <c r="AB5" s="7" t="n">
        <f aca="false">$C$2+7*(21-1)</f>
        <v>46440</v>
      </c>
      <c r="AC5" s="7" t="n">
        <f aca="false">$C$2+7*(22-1)</f>
        <v>46447</v>
      </c>
      <c r="AD5" s="7" t="n">
        <f aca="false">$C$2+7*(23-1)</f>
        <v>46454</v>
      </c>
      <c r="AE5" s="7" t="n">
        <f aca="false">$C$2+7*(24-1)</f>
        <v>46461</v>
      </c>
      <c r="AF5" s="7" t="n">
        <f aca="false">$C$2+7*(25-1)</f>
        <v>46468</v>
      </c>
      <c r="AG5" s="7" t="n">
        <f aca="false">$C$2+7*(26-1)</f>
        <v>46475</v>
      </c>
      <c r="AH5" s="7" t="n">
        <f aca="false">$C$2+7*(27-1)</f>
        <v>46482</v>
      </c>
      <c r="AI5" s="7" t="n">
        <f aca="false">$C$2+7*(28-1)</f>
        <v>46489</v>
      </c>
      <c r="AJ5" s="7" t="n">
        <f aca="false">$C$2+7*(29-1)</f>
        <v>46496</v>
      </c>
      <c r="AK5" s="7" t="n">
        <f aca="false">$C$2+7*(30-1)</f>
        <v>46503</v>
      </c>
      <c r="AL5" s="7" t="n">
        <f aca="false">$C$2+7*(31-1)</f>
        <v>46510</v>
      </c>
      <c r="AM5" s="7" t="n">
        <f aca="false">$C$2+7*(32-1)</f>
        <v>46517</v>
      </c>
      <c r="AN5" s="7" t="n">
        <f aca="false">$C$2+7*(33-1)</f>
        <v>46524</v>
      </c>
      <c r="AO5" s="7" t="n">
        <f aca="false">$C$2+7*(34-1)</f>
        <v>46531</v>
      </c>
      <c r="AP5" s="7" t="n">
        <f aca="false">$C$2+7*(35-1)</f>
        <v>46538</v>
      </c>
      <c r="AQ5" s="7" t="n">
        <f aca="false">$C$2+7*(36-1)</f>
        <v>46545</v>
      </c>
      <c r="AR5" s="7" t="n">
        <f aca="false">$C$2+7*(37-1)</f>
        <v>46552</v>
      </c>
      <c r="AS5" s="7" t="n">
        <f aca="false">$C$2+7*(38-1)</f>
        <v>46559</v>
      </c>
      <c r="AT5" s="7" t="n">
        <f aca="false">$C$2+7*(39-1)</f>
        <v>46566</v>
      </c>
      <c r="AU5" s="7" t="n">
        <f aca="false">$C$2+7*(40-1)</f>
        <v>46573</v>
      </c>
      <c r="AV5" s="7" t="n">
        <f aca="false">$C$2+7*(41-1)</f>
        <v>46580</v>
      </c>
      <c r="AW5" s="7" t="n">
        <f aca="false">$C$2+7*(42-1)</f>
        <v>46587</v>
      </c>
      <c r="AX5" s="7" t="n">
        <f aca="false">$C$2+7*(43-1)</f>
        <v>46594</v>
      </c>
      <c r="AY5" s="7" t="n">
        <f aca="false">$C$2+7*(44-1)</f>
        <v>46601</v>
      </c>
    </row>
    <row r="6" customFormat="false" ht="15" hidden="false" customHeight="false" outlineLevel="0" collapsed="false">
      <c r="A6" s="8" t="s">
        <v>54</v>
      </c>
      <c r="B6" s="8" t="s">
        <v>55</v>
      </c>
      <c r="C6" s="8"/>
      <c r="D6" s="9" t="n">
        <f aca="false">MIN(D7:D8)</f>
        <v>1</v>
      </c>
      <c r="E6" s="9" t="n">
        <f aca="false">SUMPRODUCT(MAX(D7:D8+E7:E8))-D6</f>
        <v>44</v>
      </c>
      <c r="F6" s="10" t="n">
        <f aca="false">$C$2+7*(D6-1)</f>
        <v>46300</v>
      </c>
      <c r="G6" s="10" t="n">
        <f aca="false">F6+7*E6-3</f>
        <v>46605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customFormat="false" ht="15" hidden="false" customHeight="false" outlineLevel="0" collapsed="false">
      <c r="A7" s="12" t="s">
        <v>56</v>
      </c>
      <c r="B7" s="13" t="s">
        <v>57</v>
      </c>
      <c r="C7" s="12" t="s">
        <v>58</v>
      </c>
      <c r="D7" s="14" t="n">
        <v>1</v>
      </c>
      <c r="E7" s="14" t="n">
        <v>1</v>
      </c>
      <c r="F7" s="15" t="n">
        <f aca="false">$C$2+7*(D7-1)</f>
        <v>46300</v>
      </c>
      <c r="G7" s="15" t="n">
        <f aca="false">F7+7*E7-3</f>
        <v>46304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</row>
    <row r="8" customFormat="false" ht="15" hidden="false" customHeight="false" outlineLevel="0" collapsed="false">
      <c r="A8" s="12" t="s">
        <v>59</v>
      </c>
      <c r="B8" s="13" t="s">
        <v>60</v>
      </c>
      <c r="C8" s="12" t="s">
        <v>61</v>
      </c>
      <c r="D8" s="14" t="n">
        <v>1</v>
      </c>
      <c r="E8" s="14" t="n">
        <v>44</v>
      </c>
      <c r="F8" s="15" t="n">
        <f aca="false">$C$2+7*(D8-1)</f>
        <v>46300</v>
      </c>
      <c r="G8" s="15" t="n">
        <f aca="false">F8+7*E8-3</f>
        <v>46605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</row>
    <row r="9" customFormat="false" ht="15" hidden="false" customHeight="false" outlineLevel="0" collapsed="false">
      <c r="A9" s="8" t="s">
        <v>62</v>
      </c>
      <c r="B9" s="8" t="s">
        <v>63</v>
      </c>
      <c r="C9" s="8"/>
      <c r="D9" s="9" t="n">
        <f aca="false">MIN(D10:D13)</f>
        <v>2</v>
      </c>
      <c r="E9" s="9" t="n">
        <f aca="false">SUMPRODUCT(MAX(D10:D13+E10:E13))-D9</f>
        <v>5</v>
      </c>
      <c r="F9" s="10" t="n">
        <f aca="false">$C$2+7*(D9-1)</f>
        <v>46307</v>
      </c>
      <c r="G9" s="10" t="n">
        <f aca="false">F9+7*E9-3</f>
        <v>46339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customFormat="false" ht="15" hidden="false" customHeight="false" outlineLevel="0" collapsed="false">
      <c r="A10" s="12" t="s">
        <v>64</v>
      </c>
      <c r="B10" s="13" t="s">
        <v>65</v>
      </c>
      <c r="C10" s="12" t="s">
        <v>58</v>
      </c>
      <c r="D10" s="14" t="n">
        <v>2</v>
      </c>
      <c r="E10" s="14" t="n">
        <v>1</v>
      </c>
      <c r="F10" s="15" t="n">
        <f aca="false">$C$2+7*(D10-1)</f>
        <v>46307</v>
      </c>
      <c r="G10" s="15" t="n">
        <f aca="false">F10+7*E10-3</f>
        <v>46311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</row>
    <row r="11" customFormat="false" ht="15" hidden="false" customHeight="false" outlineLevel="0" collapsed="false">
      <c r="A11" s="12" t="s">
        <v>66</v>
      </c>
      <c r="B11" s="13" t="s">
        <v>67</v>
      </c>
      <c r="C11" s="12" t="s">
        <v>58</v>
      </c>
      <c r="D11" s="14" t="n">
        <v>3</v>
      </c>
      <c r="E11" s="14" t="n">
        <v>2</v>
      </c>
      <c r="F11" s="15" t="n">
        <f aca="false">$C$2+7*(D11-1)</f>
        <v>46314</v>
      </c>
      <c r="G11" s="15" t="n">
        <f aca="false">F11+7*E11-3</f>
        <v>46325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</row>
    <row r="12" customFormat="false" ht="15" hidden="false" customHeight="false" outlineLevel="0" collapsed="false">
      <c r="A12" s="12" t="s">
        <v>68</v>
      </c>
      <c r="B12" s="13" t="s">
        <v>69</v>
      </c>
      <c r="C12" s="12" t="s">
        <v>70</v>
      </c>
      <c r="D12" s="14" t="n">
        <v>5</v>
      </c>
      <c r="E12" s="14" t="n">
        <v>1</v>
      </c>
      <c r="F12" s="15" t="n">
        <f aca="false">$C$2+7*(D12-1)</f>
        <v>46328</v>
      </c>
      <c r="G12" s="15" t="n">
        <f aca="false">F12+7*E12-3</f>
        <v>46332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 customFormat="false" ht="15" hidden="false" customHeight="false" outlineLevel="0" collapsed="false">
      <c r="A13" s="12" t="s">
        <v>71</v>
      </c>
      <c r="B13" s="13" t="s">
        <v>72</v>
      </c>
      <c r="C13" s="12" t="s">
        <v>58</v>
      </c>
      <c r="D13" s="14" t="n">
        <v>6</v>
      </c>
      <c r="E13" s="14" t="n">
        <v>1</v>
      </c>
      <c r="F13" s="15" t="n">
        <f aca="false">$C$2+7*(D13-1)</f>
        <v>46335</v>
      </c>
      <c r="G13" s="15" t="n">
        <f aca="false">F13+7*E13-3</f>
        <v>46339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</row>
    <row r="14" customFormat="false" ht="15" hidden="false" customHeight="false" outlineLevel="0" collapsed="false">
      <c r="A14" s="8" t="s">
        <v>73</v>
      </c>
      <c r="B14" s="8" t="s">
        <v>74</v>
      </c>
      <c r="C14" s="8"/>
      <c r="D14" s="9" t="n">
        <f aca="false">MIN(D15:D17)</f>
        <v>7</v>
      </c>
      <c r="E14" s="9" t="n">
        <f aca="false">SUMPRODUCT(MAX(D15:D17+E15:E17))-D14</f>
        <v>4</v>
      </c>
      <c r="F14" s="10" t="n">
        <f aca="false">$C$2+7*(D14-1)</f>
        <v>46342</v>
      </c>
      <c r="G14" s="10" t="n">
        <f aca="false">F14+7*E14-3</f>
        <v>46367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customFormat="false" ht="15" hidden="false" customHeight="false" outlineLevel="0" collapsed="false">
      <c r="A15" s="12" t="s">
        <v>75</v>
      </c>
      <c r="B15" s="13" t="s">
        <v>76</v>
      </c>
      <c r="C15" s="12" t="s">
        <v>61</v>
      </c>
      <c r="D15" s="14" t="n">
        <v>7</v>
      </c>
      <c r="E15" s="14" t="n">
        <v>2</v>
      </c>
      <c r="F15" s="15" t="n">
        <f aca="false">$C$2+7*(D15-1)</f>
        <v>46342</v>
      </c>
      <c r="G15" s="15" t="n">
        <f aca="false">F15+7*E15-3</f>
        <v>46353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</row>
    <row r="16" customFormat="false" ht="15" hidden="false" customHeight="false" outlineLevel="0" collapsed="false">
      <c r="A16" s="12" t="s">
        <v>77</v>
      </c>
      <c r="B16" s="13" t="s">
        <v>78</v>
      </c>
      <c r="C16" s="12" t="s">
        <v>58</v>
      </c>
      <c r="D16" s="14" t="n">
        <v>9</v>
      </c>
      <c r="E16" s="14" t="n">
        <v>1</v>
      </c>
      <c r="F16" s="15" t="n">
        <f aca="false">$C$2+7*(D16-1)</f>
        <v>46356</v>
      </c>
      <c r="G16" s="15" t="n">
        <f aca="false">F16+7*E16-3</f>
        <v>46360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customFormat="false" ht="15" hidden="false" customHeight="false" outlineLevel="0" collapsed="false">
      <c r="A17" s="12" t="s">
        <v>79</v>
      </c>
      <c r="B17" s="13" t="s">
        <v>80</v>
      </c>
      <c r="C17" s="12" t="s">
        <v>70</v>
      </c>
      <c r="D17" s="14" t="n">
        <v>10</v>
      </c>
      <c r="E17" s="14" t="n">
        <v>1</v>
      </c>
      <c r="F17" s="15" t="n">
        <f aca="false">$C$2+7*(D17-1)</f>
        <v>46363</v>
      </c>
      <c r="G17" s="15" t="n">
        <f aca="false">F17+7*E17-3</f>
        <v>46367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</row>
    <row r="18" customFormat="false" ht="15" hidden="false" customHeight="false" outlineLevel="0" collapsed="false">
      <c r="A18" s="8" t="s">
        <v>81</v>
      </c>
      <c r="B18" s="8" t="s">
        <v>82</v>
      </c>
      <c r="C18" s="8"/>
      <c r="D18" s="9" t="n">
        <f aca="false">MIN(D19:D22)</f>
        <v>11</v>
      </c>
      <c r="E18" s="9" t="n">
        <f aca="false">SUMPRODUCT(MAX(D19:D22+E19:E22))-D18</f>
        <v>6</v>
      </c>
      <c r="F18" s="10" t="n">
        <f aca="false">$C$2+7*(D18-1)</f>
        <v>46370</v>
      </c>
      <c r="G18" s="10" t="n">
        <f aca="false">F18+7*E18-3</f>
        <v>46409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customFormat="false" ht="15" hidden="false" customHeight="false" outlineLevel="0" collapsed="false">
      <c r="A19" s="12" t="s">
        <v>83</v>
      </c>
      <c r="B19" s="13" t="s">
        <v>84</v>
      </c>
      <c r="C19" s="12" t="s">
        <v>61</v>
      </c>
      <c r="D19" s="14" t="n">
        <v>11</v>
      </c>
      <c r="E19" s="14" t="n">
        <v>1</v>
      </c>
      <c r="F19" s="15" t="n">
        <f aca="false">$C$2+7*(D19-1)</f>
        <v>46370</v>
      </c>
      <c r="G19" s="15" t="n">
        <f aca="false">F19+7*E19-3</f>
        <v>46374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</row>
    <row r="20" customFormat="false" ht="15" hidden="false" customHeight="false" outlineLevel="0" collapsed="false">
      <c r="A20" s="12" t="s">
        <v>85</v>
      </c>
      <c r="B20" s="13" t="s">
        <v>86</v>
      </c>
      <c r="C20" s="12" t="s">
        <v>61</v>
      </c>
      <c r="D20" s="14" t="n">
        <v>12</v>
      </c>
      <c r="E20" s="14" t="n">
        <v>1</v>
      </c>
      <c r="F20" s="15" t="n">
        <f aca="false">$C$2+7*(D20-1)</f>
        <v>46377</v>
      </c>
      <c r="G20" s="15" t="n">
        <f aca="false">F20+7*E20-3</f>
        <v>46381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customFormat="false" ht="15" hidden="false" customHeight="false" outlineLevel="0" collapsed="false">
      <c r="A21" s="12" t="s">
        <v>87</v>
      </c>
      <c r="B21" s="13" t="s">
        <v>88</v>
      </c>
      <c r="C21" s="12" t="s">
        <v>70</v>
      </c>
      <c r="D21" s="14" t="n">
        <v>13</v>
      </c>
      <c r="E21" s="14" t="n">
        <v>3</v>
      </c>
      <c r="F21" s="15" t="n">
        <f aca="false">$C$2+7*(D21-1)</f>
        <v>46384</v>
      </c>
      <c r="G21" s="15" t="n">
        <f aca="false">F21+7*E21-3</f>
        <v>46402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</row>
    <row r="22" customFormat="false" ht="15" hidden="false" customHeight="false" outlineLevel="0" collapsed="false">
      <c r="A22" s="12" t="s">
        <v>89</v>
      </c>
      <c r="B22" s="13" t="s">
        <v>90</v>
      </c>
      <c r="C22" s="12" t="s">
        <v>70</v>
      </c>
      <c r="D22" s="14" t="n">
        <v>16</v>
      </c>
      <c r="E22" s="14" t="n">
        <v>1</v>
      </c>
      <c r="F22" s="15" t="n">
        <f aca="false">$C$2+7*(D22-1)</f>
        <v>46405</v>
      </c>
      <c r="G22" s="15" t="n">
        <f aca="false">F22+7*E22-3</f>
        <v>46409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customFormat="false" ht="15" hidden="false" customHeight="false" outlineLevel="0" collapsed="false">
      <c r="A23" s="8" t="s">
        <v>91</v>
      </c>
      <c r="B23" s="8" t="s">
        <v>92</v>
      </c>
      <c r="C23" s="8"/>
      <c r="D23" s="9" t="n">
        <f aca="false">MIN(D24:D29)</f>
        <v>17</v>
      </c>
      <c r="E23" s="9" t="n">
        <f aca="false">SUMPRODUCT(MAX(D24:D29+E24:E29))-D23</f>
        <v>19</v>
      </c>
      <c r="F23" s="10" t="n">
        <f aca="false">$C$2+7*(D23-1)</f>
        <v>46412</v>
      </c>
      <c r="G23" s="10" t="n">
        <f aca="false">F23+7*E23-3</f>
        <v>46542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customFormat="false" ht="15" hidden="false" customHeight="false" outlineLevel="0" collapsed="false">
      <c r="A24" s="12" t="s">
        <v>93</v>
      </c>
      <c r="B24" s="13" t="s">
        <v>94</v>
      </c>
      <c r="C24" s="12" t="s">
        <v>61</v>
      </c>
      <c r="D24" s="14" t="n">
        <v>17</v>
      </c>
      <c r="E24" s="14" t="n">
        <v>4</v>
      </c>
      <c r="F24" s="15" t="n">
        <f aca="false">$C$2+7*(D24-1)</f>
        <v>46412</v>
      </c>
      <c r="G24" s="15" t="n">
        <f aca="false">F24+7*E24-3</f>
        <v>46437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customFormat="false" ht="15" hidden="false" customHeight="false" outlineLevel="0" collapsed="false">
      <c r="A25" s="12" t="s">
        <v>95</v>
      </c>
      <c r="B25" s="13" t="s">
        <v>96</v>
      </c>
      <c r="C25" s="12" t="s">
        <v>70</v>
      </c>
      <c r="D25" s="14" t="n">
        <v>21</v>
      </c>
      <c r="E25" s="14" t="n">
        <v>3</v>
      </c>
      <c r="F25" s="15" t="n">
        <f aca="false">$C$2+7*(D25-1)</f>
        <v>46440</v>
      </c>
      <c r="G25" s="15" t="n">
        <f aca="false">F25+7*E25-3</f>
        <v>46458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customFormat="false" ht="15" hidden="false" customHeight="false" outlineLevel="0" collapsed="false">
      <c r="A26" s="12" t="s">
        <v>97</v>
      </c>
      <c r="B26" s="13" t="s">
        <v>98</v>
      </c>
      <c r="C26" s="12" t="s">
        <v>70</v>
      </c>
      <c r="D26" s="14" t="n">
        <v>24</v>
      </c>
      <c r="E26" s="14" t="n">
        <v>4</v>
      </c>
      <c r="F26" s="15" t="n">
        <f aca="false">$C$2+7*(D26-1)</f>
        <v>46461</v>
      </c>
      <c r="G26" s="15" t="n">
        <f aca="false">F26+7*E26-3</f>
        <v>46486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customFormat="false" ht="15" hidden="false" customHeight="false" outlineLevel="0" collapsed="false">
      <c r="A27" s="12" t="s">
        <v>99</v>
      </c>
      <c r="B27" s="13" t="s">
        <v>100</v>
      </c>
      <c r="C27" s="12" t="s">
        <v>70</v>
      </c>
      <c r="D27" s="14" t="n">
        <v>28</v>
      </c>
      <c r="E27" s="14" t="n">
        <v>3</v>
      </c>
      <c r="F27" s="15" t="n">
        <f aca="false">$C$2+7*(D27-1)</f>
        <v>46489</v>
      </c>
      <c r="G27" s="15" t="n">
        <f aca="false">F27+7*E27-3</f>
        <v>46507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</row>
    <row r="28" customFormat="false" ht="15" hidden="false" customHeight="false" outlineLevel="0" collapsed="false">
      <c r="A28" s="12" t="s">
        <v>101</v>
      </c>
      <c r="B28" s="13" t="s">
        <v>102</v>
      </c>
      <c r="C28" s="12" t="s">
        <v>70</v>
      </c>
      <c r="D28" s="14" t="n">
        <v>31</v>
      </c>
      <c r="E28" s="14" t="n">
        <v>3</v>
      </c>
      <c r="F28" s="15" t="n">
        <f aca="false">$C$2+7*(D28-1)</f>
        <v>46510</v>
      </c>
      <c r="G28" s="15" t="n">
        <f aca="false">F28+7*E28-3</f>
        <v>46528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customFormat="false" ht="15" hidden="false" customHeight="false" outlineLevel="0" collapsed="false">
      <c r="A29" s="12" t="s">
        <v>103</v>
      </c>
      <c r="B29" s="13" t="s">
        <v>104</v>
      </c>
      <c r="C29" s="12" t="s">
        <v>61</v>
      </c>
      <c r="D29" s="14" t="n">
        <v>34</v>
      </c>
      <c r="E29" s="14" t="n">
        <v>2</v>
      </c>
      <c r="F29" s="15" t="n">
        <f aca="false">$C$2+7*(D29-1)</f>
        <v>46531</v>
      </c>
      <c r="G29" s="15" t="n">
        <f aca="false">F29+7*E29-3</f>
        <v>46542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</row>
    <row r="30" customFormat="false" ht="15" hidden="false" customHeight="false" outlineLevel="0" collapsed="false">
      <c r="A30" s="8" t="s">
        <v>105</v>
      </c>
      <c r="B30" s="8" t="s">
        <v>106</v>
      </c>
      <c r="C30" s="8"/>
      <c r="D30" s="9" t="n">
        <f aca="false">MIN(D31:D34)</f>
        <v>36</v>
      </c>
      <c r="E30" s="9" t="n">
        <f aca="false">SUMPRODUCT(MAX(D31:D34+E31:E34))-D30</f>
        <v>6</v>
      </c>
      <c r="F30" s="10" t="n">
        <f aca="false">$C$2+7*(D30-1)</f>
        <v>46545</v>
      </c>
      <c r="G30" s="10" t="n">
        <f aca="false">F30+7*E30-3</f>
        <v>46584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customFormat="false" ht="15" hidden="false" customHeight="false" outlineLevel="0" collapsed="false">
      <c r="A31" s="12" t="s">
        <v>107</v>
      </c>
      <c r="B31" s="13" t="s">
        <v>108</v>
      </c>
      <c r="C31" s="12" t="s">
        <v>61</v>
      </c>
      <c r="D31" s="14" t="n">
        <v>36</v>
      </c>
      <c r="E31" s="14" t="n">
        <v>1</v>
      </c>
      <c r="F31" s="15" t="n">
        <f aca="false">$C$2+7*(D31-1)</f>
        <v>46545</v>
      </c>
      <c r="G31" s="15" t="n">
        <f aca="false">F31+7*E31-3</f>
        <v>46549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</row>
    <row r="32" customFormat="false" ht="15" hidden="false" customHeight="false" outlineLevel="0" collapsed="false">
      <c r="A32" s="12" t="s">
        <v>109</v>
      </c>
      <c r="B32" s="13" t="s">
        <v>110</v>
      </c>
      <c r="C32" s="12" t="s">
        <v>70</v>
      </c>
      <c r="D32" s="14" t="n">
        <v>37</v>
      </c>
      <c r="E32" s="14" t="n">
        <v>2</v>
      </c>
      <c r="F32" s="15" t="n">
        <f aca="false">$C$2+7*(D32-1)</f>
        <v>46552</v>
      </c>
      <c r="G32" s="15" t="n">
        <f aca="false">F32+7*E32-3</f>
        <v>46563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customFormat="false" ht="15" hidden="false" customHeight="false" outlineLevel="0" collapsed="false">
      <c r="A33" s="12" t="s">
        <v>111</v>
      </c>
      <c r="B33" s="13" t="s">
        <v>112</v>
      </c>
      <c r="C33" s="12" t="s">
        <v>58</v>
      </c>
      <c r="D33" s="14" t="n">
        <v>39</v>
      </c>
      <c r="E33" s="14" t="n">
        <v>1</v>
      </c>
      <c r="F33" s="15" t="n">
        <f aca="false">$C$2+7*(D33-1)</f>
        <v>46566</v>
      </c>
      <c r="G33" s="15" t="n">
        <f aca="false">F33+7*E33-3</f>
        <v>46570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</row>
    <row r="34" customFormat="false" ht="15" hidden="false" customHeight="false" outlineLevel="0" collapsed="false">
      <c r="A34" s="12" t="s">
        <v>113</v>
      </c>
      <c r="B34" s="13" t="s">
        <v>114</v>
      </c>
      <c r="C34" s="12" t="s">
        <v>61</v>
      </c>
      <c r="D34" s="14" t="n">
        <v>40</v>
      </c>
      <c r="E34" s="14" t="n">
        <v>2</v>
      </c>
      <c r="F34" s="15" t="n">
        <f aca="false">$C$2+7*(D34-1)</f>
        <v>46573</v>
      </c>
      <c r="G34" s="15" t="n">
        <f aca="false">F34+7*E34-3</f>
        <v>46584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customFormat="false" ht="15" hidden="false" customHeight="false" outlineLevel="0" collapsed="false">
      <c r="A35" s="8" t="s">
        <v>115</v>
      </c>
      <c r="B35" s="8" t="s">
        <v>116</v>
      </c>
      <c r="C35" s="8"/>
      <c r="D35" s="9" t="n">
        <f aca="false">MIN(D36:D39)</f>
        <v>42</v>
      </c>
      <c r="E35" s="9" t="n">
        <f aca="false">SUMPRODUCT(MAX(D36:D39+E36:E39))-D35</f>
        <v>3</v>
      </c>
      <c r="F35" s="10" t="n">
        <f aca="false">$C$2+7*(D35-1)</f>
        <v>46587</v>
      </c>
      <c r="G35" s="10" t="n">
        <f aca="false">F35+7*E35-3</f>
        <v>46605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customFormat="false" ht="15" hidden="false" customHeight="false" outlineLevel="0" collapsed="false">
      <c r="A36" s="12" t="s">
        <v>117</v>
      </c>
      <c r="B36" s="13" t="s">
        <v>118</v>
      </c>
      <c r="C36" s="12" t="s">
        <v>70</v>
      </c>
      <c r="D36" s="14" t="n">
        <v>42</v>
      </c>
      <c r="E36" s="14" t="n">
        <v>1</v>
      </c>
      <c r="F36" s="15" t="n">
        <f aca="false">$C$2+7*(D36-1)</f>
        <v>46587</v>
      </c>
      <c r="G36" s="15" t="n">
        <f aca="false">F36+7*E36-3</f>
        <v>46591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customFormat="false" ht="15" hidden="false" customHeight="false" outlineLevel="0" collapsed="false">
      <c r="A37" s="12" t="s">
        <v>119</v>
      </c>
      <c r="B37" s="13" t="s">
        <v>120</v>
      </c>
      <c r="C37" s="12" t="s">
        <v>61</v>
      </c>
      <c r="D37" s="14" t="n">
        <v>43</v>
      </c>
      <c r="E37" s="14" t="n">
        <v>1</v>
      </c>
      <c r="F37" s="15" t="n">
        <f aca="false">$C$2+7*(D37-1)</f>
        <v>46594</v>
      </c>
      <c r="G37" s="15" t="n">
        <f aca="false">F37+7*E37-3</f>
        <v>46598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</row>
    <row r="38" customFormat="false" ht="15" hidden="false" customHeight="false" outlineLevel="0" collapsed="false">
      <c r="A38" s="12" t="s">
        <v>121</v>
      </c>
      <c r="B38" s="13" t="s">
        <v>122</v>
      </c>
      <c r="C38" s="12" t="s">
        <v>58</v>
      </c>
      <c r="D38" s="14" t="n">
        <v>44</v>
      </c>
      <c r="E38" s="14" t="n">
        <v>1</v>
      </c>
      <c r="F38" s="15" t="n">
        <f aca="false">$C$2+7*(D38-1)</f>
        <v>46601</v>
      </c>
      <c r="G38" s="15" t="n">
        <f aca="false">F38+7*E38-3</f>
        <v>46605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customFormat="false" ht="15" hidden="false" customHeight="false" outlineLevel="0" collapsed="false">
      <c r="A39" s="12" t="s">
        <v>123</v>
      </c>
      <c r="B39" s="13" t="s">
        <v>124</v>
      </c>
      <c r="C39" s="12" t="s">
        <v>58</v>
      </c>
      <c r="D39" s="14" t="n">
        <v>44</v>
      </c>
      <c r="E39" s="14" t="n">
        <v>1</v>
      </c>
      <c r="F39" s="15" t="n">
        <f aca="false">$C$2+7*(D39-1)</f>
        <v>46601</v>
      </c>
      <c r="G39" s="15" t="n">
        <f aca="false">F39+7*E39-3</f>
        <v>46605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</row>
    <row r="41" customFormat="false" ht="15" hidden="false" customHeight="false" outlineLevel="0" collapsed="false">
      <c r="A41" s="17" t="s">
        <v>125</v>
      </c>
    </row>
    <row r="42" customFormat="false" ht="15" hidden="false" customHeight="false" outlineLevel="0" collapsed="false">
      <c r="A42" s="17" t="s">
        <v>126</v>
      </c>
    </row>
  </sheetData>
  <mergeCells count="7">
    <mergeCell ref="A4:A5"/>
    <mergeCell ref="B4:B5"/>
    <mergeCell ref="C4:C5"/>
    <mergeCell ref="D4:D5"/>
    <mergeCell ref="E4:E5"/>
    <mergeCell ref="F4:F5"/>
    <mergeCell ref="G4:G5"/>
  </mergeCells>
  <conditionalFormatting sqref="H6:AY39">
    <cfRule type="expression" priority="2" aboveAverage="0" equalAverage="0" bottom="0" percent="0" rank="0" text="" dxfId="0">
      <formula>AND($C6="",AND((COLUMN(H6)-7)&gt;=$D6,(COLUMN(H6)-7)&lt;$D6+$E6))</formula>
    </cfRule>
    <cfRule type="expression" priority="3" aboveAverage="0" equalAverage="0" bottom="0" percent="0" rank="0" text="" dxfId="1">
      <formula>AND((COLUMN(H6)-7)&gt;=$D6,(COLUMN(H6)-7)&lt;$D6+$E6)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2026-10-05T03:28:26Z</dcterms:created>
  <dc:creator>openpyxl</dc:creator>
  <dc:description/>
  <dc:language>en-US</dc:language>
  <cp:lastModifiedBy/>
  <dcterms:modified xsi:type="dcterms:W3CDTF">2026-10-05T03:28:26Z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